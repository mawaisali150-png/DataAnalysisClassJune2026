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4f63eccaedd0ebf/Desktop/class/DataAnalysisClassJune2026/"/>
    </mc:Choice>
  </mc:AlternateContent>
  <xr:revisionPtr revIDLastSave="2" documentId="11_3341A6161E43C9064FD148D6FA9CB9DBF04E8B10" xr6:coauthVersionLast="47" xr6:coauthVersionMax="47" xr10:uidLastSave="{A22CE76C-2834-401F-B3CB-0F359823A1DA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C4" i="1"/>
  <c r="F10" i="1"/>
  <c r="G10" i="1" s="1"/>
  <c r="F8" i="1"/>
  <c r="G8" i="1" s="1"/>
  <c r="F6" i="1"/>
  <c r="G6" i="1" s="1"/>
  <c r="F5" i="1"/>
  <c r="G5" i="1" s="1"/>
  <c r="F2" i="1"/>
</calcChain>
</file>

<file path=xl/sharedStrings.xml><?xml version="1.0" encoding="utf-8"?>
<sst xmlns="http://schemas.openxmlformats.org/spreadsheetml/2006/main" count="11" uniqueCount="11">
  <si>
    <t>Total revenue</t>
  </si>
  <si>
    <t>Cost of goods sold</t>
  </si>
  <si>
    <t>Gross profit</t>
  </si>
  <si>
    <t>Selling, general &amp; administrative</t>
  </si>
  <si>
    <t>Depreciation &amp; Amortization</t>
  </si>
  <si>
    <t>Operating income</t>
  </si>
  <si>
    <t>Interest expense</t>
  </si>
  <si>
    <t>Pretax income</t>
  </si>
  <si>
    <t>Taxes</t>
  </si>
  <si>
    <t>Net income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</si>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</sst>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abSelected="1" workbookViewId="0">
      <selection activeCell="C7" sqref="C7"/>
    </sheetView>
  </sheetViews>
  <sheetFormatPr defaultColWidth="12.54296875" defaultRowHeight="15.75" customHeight="1" x14ac:dyDescent="0.25"/>
  <cols>
    <col min="1" max="1" width="11.81640625" customWidth="1"/>
    <col min="2" max="2" width="32" customWidth="1"/>
    <col min="3" max="26" width="11.81640625" customWidth="1"/>
  </cols>
  <sheetData>
    <row r="1" spans="2:7" ht="15.75" customHeight="1" x14ac:dyDescent="0.3">
      <c r="B1" s="2" t="s">
        <v>10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2:7" ht="15.75" customHeight="1" x14ac:dyDescent="0.25">
      <c r="B2" s="1" t="s">
        <v>0</v>
      </c>
      <c r="C2" s="1">
        <v>5254</v>
      </c>
      <c r="D2" s="1">
        <v>5525</v>
      </c>
      <c r="E2" s="1">
        <v>6278</v>
      </c>
      <c r="F2" s="1">
        <f>E2*1.15</f>
        <v>7219.7</v>
      </c>
      <c r="G2" s="1">
        <v>9783</v>
      </c>
    </row>
    <row r="3" spans="2:7" ht="15.75" customHeight="1" x14ac:dyDescent="0.25">
      <c r="B3" s="1" t="s">
        <v>1</v>
      </c>
      <c r="C3" s="1">
        <v>2850</v>
      </c>
      <c r="D3" s="1">
        <v>2869</v>
      </c>
      <c r="E3" s="1">
        <v>2998</v>
      </c>
      <c r="F3" s="1">
        <v>1850</v>
      </c>
      <c r="G3" s="1">
        <v>1250</v>
      </c>
    </row>
    <row r="4" spans="2:7" ht="15.75" customHeight="1" x14ac:dyDescent="0.25">
      <c r="B4" s="3" t="s">
        <v>2</v>
      </c>
      <c r="C4" s="3">
        <f>C2-C3</f>
        <v>2404</v>
      </c>
      <c r="D4" s="3">
        <f t="shared" ref="D4:G4" si="0">D2-D3</f>
        <v>2656</v>
      </c>
      <c r="E4" s="3">
        <f t="shared" si="0"/>
        <v>3280</v>
      </c>
      <c r="F4" s="3">
        <f t="shared" si="0"/>
        <v>5369.7</v>
      </c>
      <c r="G4" s="3">
        <f t="shared" si="0"/>
        <v>8533</v>
      </c>
    </row>
    <row r="5" spans="2:7" ht="15.75" customHeight="1" x14ac:dyDescent="0.25">
      <c r="B5" s="1" t="s">
        <v>3</v>
      </c>
      <c r="C5" s="1">
        <v>1065</v>
      </c>
      <c r="D5" s="1">
        <v>1125</v>
      </c>
      <c r="E5" s="1">
        <v>1348</v>
      </c>
      <c r="F5" s="1">
        <f t="shared" ref="F5:F6" si="1">E5*1.15</f>
        <v>1550.1999999999998</v>
      </c>
      <c r="G5" s="1">
        <f t="shared" ref="G5:G6" si="2">F5+1</f>
        <v>1551.1999999999998</v>
      </c>
    </row>
    <row r="6" spans="2:7" ht="15.75" customHeight="1" x14ac:dyDescent="0.25">
      <c r="B6" s="1" t="s">
        <v>4</v>
      </c>
      <c r="C6" s="1">
        <v>240</v>
      </c>
      <c r="D6" s="1">
        <v>240</v>
      </c>
      <c r="E6" s="1">
        <v>400</v>
      </c>
      <c r="F6" s="1">
        <f t="shared" si="1"/>
        <v>459.99999999999994</v>
      </c>
      <c r="G6" s="1">
        <f t="shared" si="2"/>
        <v>460.99999999999994</v>
      </c>
    </row>
    <row r="7" spans="2:7" ht="15.75" customHeight="1" x14ac:dyDescent="0.25">
      <c r="B7" s="1" t="s">
        <v>5</v>
      </c>
    </row>
    <row r="8" spans="2:7" ht="15.75" customHeight="1" x14ac:dyDescent="0.25">
      <c r="B8" s="1" t="s">
        <v>6</v>
      </c>
      <c r="C8" s="1">
        <v>102</v>
      </c>
      <c r="D8" s="1">
        <v>106</v>
      </c>
      <c r="E8" s="1">
        <v>108</v>
      </c>
      <c r="F8" s="1">
        <f>E8*1.15</f>
        <v>124.19999999999999</v>
      </c>
      <c r="G8" s="1">
        <f>F8+1</f>
        <v>125.19999999999999</v>
      </c>
    </row>
    <row r="9" spans="2:7" ht="15.75" customHeight="1" x14ac:dyDescent="0.25">
      <c r="B9" s="1" t="s">
        <v>7</v>
      </c>
    </row>
    <row r="10" spans="2:7" ht="15.75" customHeight="1" x14ac:dyDescent="0.25">
      <c r="B10" s="1" t="s">
        <v>8</v>
      </c>
      <c r="C10" s="1">
        <v>209.37</v>
      </c>
      <c r="D10" s="1">
        <v>248.85</v>
      </c>
      <c r="E10" s="1">
        <v>299.03999999999996</v>
      </c>
      <c r="F10" s="1">
        <f>E10*1.15</f>
        <v>343.89599999999996</v>
      </c>
      <c r="G10" s="1">
        <f>F10+1</f>
        <v>344.89599999999996</v>
      </c>
    </row>
    <row r="11" spans="2:7" ht="15.75" customHeight="1" x14ac:dyDescent="0.25">
      <c r="B11" s="1" t="s">
        <v>9</v>
      </c>
    </row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 Awais</cp:lastModifiedBy>
  <cp:revision/>
  <dcterms:created xsi:type="dcterms:W3CDTF">2026-07-01T09:54:05Z</dcterms:created>
  <dcterms:modified xsi:type="dcterms:W3CDTF">2026-07-01T12:53:21Z</dcterms:modified>
  <cp:category/>
  <cp:contentStatus/>
</cp:coreProperties>
</file>